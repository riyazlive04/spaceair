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Ventilation BOQ" state="visible" r:id="rId5"/>
    <sheet sheetId="3" name="HVAC Approved Makes" state="visible" r:id="rId6"/>
  </sheets>
  <calcPr calcId="171027" fullCalcOnLoad="1"/>
</workbook>
</file>

<file path=xl/sharedStrings.xml><?xml version="1.0" encoding="utf-8"?>
<sst xmlns="http://schemas.openxmlformats.org/spreadsheetml/2006/main" count="144" uniqueCount="103">
  <si>
    <t>Project Name &amp; Location</t>
  </si>
  <si>
    <t>Sunrise Food Court, Madurai (sample)</t>
  </si>
  <si>
    <t>Doc.Ref No.</t>
  </si>
  <si>
    <t>SMP-HVAC-01</t>
  </si>
  <si>
    <t>Client</t>
  </si>
  <si>
    <t>Sunrise Food Court (sample)</t>
  </si>
  <si>
    <t>Revision No</t>
  </si>
  <si>
    <t>R0</t>
  </si>
  <si>
    <t>Architect</t>
  </si>
  <si>
    <t>Studio Lines Architects (sample)</t>
  </si>
  <si>
    <t>Initial Date</t>
  </si>
  <si>
    <t>15.09.2026</t>
  </si>
  <si>
    <t>MEP Consultant</t>
  </si>
  <si>
    <t>Airtech MEP Consultants (sample)</t>
  </si>
  <si>
    <t>Prepared By</t>
  </si>
  <si>
    <t>Consultant team</t>
  </si>
  <si>
    <t>Document</t>
  </si>
  <si>
    <t>HVAC - BOQ</t>
  </si>
  <si>
    <t>Reviewed By</t>
  </si>
  <si>
    <t>—</t>
  </si>
  <si>
    <t>Service</t>
  </si>
  <si>
    <t>HVAC</t>
  </si>
  <si>
    <t>Approved By</t>
  </si>
  <si>
    <t>S.No</t>
  </si>
  <si>
    <t>Descriptions</t>
  </si>
  <si>
    <t>Supply Amount (INR)</t>
  </si>
  <si>
    <t>Installation Amount (INR)</t>
  </si>
  <si>
    <t>Total Amount (INR)</t>
  </si>
  <si>
    <t>Ventilation BOQ</t>
  </si>
  <si>
    <t>HVAC Consultant</t>
  </si>
  <si>
    <t>S.NO</t>
  </si>
  <si>
    <t>ITEM CODE</t>
  </si>
  <si>
    <t>DESCRIPTION OF ITEM</t>
  </si>
  <si>
    <t>UNIT</t>
  </si>
  <si>
    <t>Ground Floor</t>
  </si>
  <si>
    <t>First Floor</t>
  </si>
  <si>
    <t>TOTAL QUANTITY</t>
  </si>
  <si>
    <t>SUPPLY RATE</t>
  </si>
  <si>
    <t>INSTALLATION RATE</t>
  </si>
  <si>
    <t>SUPPLY AMOUNT</t>
  </si>
  <si>
    <t>INSTALLATION AMOUNT</t>
  </si>
  <si>
    <t>TOTAL AMOUNT</t>
  </si>
  <si>
    <t>INR</t>
  </si>
  <si>
    <t>CABINET DIDW FAN FOR EXHAUST AIR</t>
  </si>
  <si>
    <t>CABINET DIDW FAN FOR EXHAUST AIR : Supply, erection, testing and commissioning of double-skin cabinet DIDW centrifugal fans with backward-curved impeller, IE3 motor, VFD-ready, complete with anti-vibration mounts and flexible connections.</t>
  </si>
  <si>
    <t>3500 CFM 350 Pa ESP</t>
  </si>
  <si>
    <t>Nos</t>
  </si>
  <si>
    <t>6200 CFM 350 Pa ESP</t>
  </si>
  <si>
    <t>10600 CFM 350 Pa ESP</t>
  </si>
  <si>
    <t>14000 CFM 350 Pa ESP</t>
  </si>
  <si>
    <t>QRO</t>
  </si>
  <si>
    <t>20500 CFM 350 Pa ESP</t>
  </si>
  <si>
    <t>SISW FAN FOR KITCHEN EXHAUST AIR</t>
  </si>
  <si>
    <t>SISW FAN FOR KITCHEN EXHAUST AIR : Design, supply, installation, testing and commissioning of SISW kitchen exhaust fans rated for 250 °C for 2 hours, motor out of air stream, with grease drain and access door.</t>
  </si>
  <si>
    <t>5250 CFM 300 Pa ESP</t>
  </si>
  <si>
    <t>9700 CFM 300 Pa ESP</t>
  </si>
  <si>
    <t>PERFORATED TYPE CABLE TRAY</t>
  </si>
  <si>
    <t>PERFORATED TYPE CABLE TRAY : Supply and laying of hot-dip galvanised perforated cable trays with couplers, bends, tees and supports.</t>
  </si>
  <si>
    <t>100 mm W x 50 mm H</t>
  </si>
  <si>
    <t>Rmt</t>
  </si>
  <si>
    <t>150 mm W x 50 mm H</t>
  </si>
  <si>
    <t>300 mm W x 50 mm H</t>
  </si>
  <si>
    <t>MS CONDUIT</t>
  </si>
  <si>
    <t>MS CONDUIT : Supply and laying of hot-dip galvanised MS conduit with accessories, surface or concealed.</t>
  </si>
  <si>
    <t>20 mm Dia</t>
  </si>
  <si>
    <t>25 mm Dia</t>
  </si>
  <si>
    <t>ELECTRICAL CABLES TERMINATION</t>
  </si>
  <si>
    <t>ELECTRICAL CABLES TERMINATION : Supply, termination, testing and commissioning of 1.1 kV grade XLPE armoured copper cables with glands and lugs.</t>
  </si>
  <si>
    <t>3C x 4 Sq.mm XLPE Cu. Ar. Cable</t>
  </si>
  <si>
    <t>3C x 10 Sq.mm XLPE Cu. Ar. Cable</t>
  </si>
  <si>
    <t>FIRE RATED SEALANT</t>
  </si>
  <si>
    <t>FIRE RATED SEALANT : Supply and application of 2-hour fire rated intumescent sealant around duct and cable penetrations through fire-rated walls and slabs, complete with backing rod.</t>
  </si>
  <si>
    <t>DUCT LEAKAGE AND PRESSURE TESTING WORKS</t>
  </si>
  <si>
    <t>DUCT LEAKAGE AND PRESSURE TESTING WORKS : Duct leakage and pressure testing of all ductwork using a calibrated rig as per SMACNA, reports submitted to the consultant.</t>
  </si>
  <si>
    <t>Lot</t>
  </si>
  <si>
    <t>HVAC TAB WORKS</t>
  </si>
  <si>
    <t>HVAC TAB WORKS : Testing, adjusting and balancing of all air systems by a certified agency, with final TAB report for consultant approval.</t>
  </si>
  <si>
    <t>TOTAL VALUE OF HVAC WORKS</t>
  </si>
  <si>
    <t>ITEM</t>
  </si>
  <si>
    <t>MAKE-1</t>
  </si>
  <si>
    <t>MAKE-2</t>
  </si>
  <si>
    <t>MAKE-3</t>
  </si>
  <si>
    <t>MAKE SELECTED BY VENDOR</t>
  </si>
  <si>
    <t>Ventilation Fans</t>
  </si>
  <si>
    <t>Kruger</t>
  </si>
  <si>
    <t>Nicotra</t>
  </si>
  <si>
    <t>Systemair</t>
  </si>
  <si>
    <t>Cable Trays</t>
  </si>
  <si>
    <t>Profab</t>
  </si>
  <si>
    <t>Pushpak</t>
  </si>
  <si>
    <t>HBS</t>
  </si>
  <si>
    <t>Electrical Cables</t>
  </si>
  <si>
    <t>KEI</t>
  </si>
  <si>
    <t>Polycab</t>
  </si>
  <si>
    <t>RR Kabel</t>
  </si>
  <si>
    <t>Conduits</t>
  </si>
  <si>
    <t>Precision</t>
  </si>
  <si>
    <t>Prince</t>
  </si>
  <si>
    <t>VIP</t>
  </si>
  <si>
    <t>Fire Sealant</t>
  </si>
  <si>
    <t>Hilti</t>
  </si>
  <si>
    <t>3M</t>
  </si>
  <si>
    <t>Promat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</si>
</sst>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G1" t="s">
        <v>2</v>
      </c>
      <c r="H1" t="s">
        <v>3</v>
      </c>
    </row>
    <row r="2" spans="1:8" x14ac:dyDescent="0.25">
      <c r="A2" t="s">
        <v>4</v>
      </c>
      <c r="B2" t="s">
        <v>5</v>
      </c>
      <c r="G2" t="s">
        <v>6</v>
      </c>
      <c r="H2" t="s">
        <v>7</v>
      </c>
    </row>
    <row r="3" spans="1:8" x14ac:dyDescent="0.25">
      <c r="A3" t="s">
        <v>8</v>
      </c>
      <c r="B3" t="s">
        <v>9</v>
      </c>
      <c r="G3" t="s">
        <v>10</v>
      </c>
      <c r="H3" t="s">
        <v>11</v>
      </c>
    </row>
    <row r="4" spans="1:8" x14ac:dyDescent="0.25">
      <c r="A4" t="s">
        <v>12</v>
      </c>
      <c r="B4" t="s">
        <v>13</v>
      </c>
      <c r="G4" t="s">
        <v>14</v>
      </c>
      <c r="H4" t="s">
        <v>15</v>
      </c>
    </row>
    <row r="5" spans="1:8" x14ac:dyDescent="0.25">
      <c r="A5" t="s">
        <v>16</v>
      </c>
      <c r="B5" t="s">
        <v>17</v>
      </c>
      <c r="G5" t="s">
        <v>18</v>
      </c>
      <c r="H5" t="s">
        <v>19</v>
      </c>
    </row>
    <row r="6" spans="1:8" x14ac:dyDescent="0.25">
      <c r="A6" t="s">
        <v>20</v>
      </c>
      <c r="B6" t="s">
        <v>21</v>
      </c>
      <c r="G6" t="s">
        <v>22</v>
      </c>
      <c r="H6" t="s">
        <v>19</v>
      </c>
    </row>
    <row r="8" spans="1:5" x14ac:dyDescent="0.25">
      <c r="A8" t="s">
        <v>23</v>
      </c>
      <c r="B8" t="s">
        <v>24</v>
      </c>
      <c r="C8" t="s">
        <v>25</v>
      </c>
      <c r="D8" t="s">
        <v>26</v>
      </c>
      <c r="E8" t="s">
        <v>27</v>
      </c>
    </row>
    <row r="9" spans="1:5" x14ac:dyDescent="0.25">
      <c r="A9">
        <v>1</v>
      </c>
      <c r="B9" t="s">
        <v>28</v>
      </c>
      <c r="C9">
        <f>'Ventilation BOQ'!J30</f>
      </c>
      <c r="D9">
        <f>'Ventilation BOQ'!K30</f>
      </c>
      <c r="E9">
        <f>C9+D9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FormatPr defaultRowHeight="15" outlineLevelRow="0" outlineLevelCol="0" x14ac:dyDescent="55"/>
  <cols>
    <col min="1" max="1" width="7" customWidth="1"/>
    <col min="2" max="2" width="24" customWidth="1"/>
    <col min="3" max="3" width="70" customWidth="1"/>
    <col min="4" max="4" width="7" customWidth="1"/>
    <col min="5" max="7" width="11" customWidth="1"/>
    <col min="8" max="9" width="13" customWidth="1"/>
    <col min="10" max="11" width="14" customWidth="1"/>
    <col min="12" max="12" width="15" customWidth="1"/>
  </cols>
  <sheetData>
    <row r="1" spans="1:2" x14ac:dyDescent="0.25">
      <c r="A1" t="s">
        <v>4</v>
      </c>
      <c r="B1" t="s">
        <v>5</v>
      </c>
    </row>
    <row r="2" spans="1:2" x14ac:dyDescent="0.25">
      <c r="A2" t="s">
        <v>8</v>
      </c>
      <c r="B2" t="s">
        <v>9</v>
      </c>
    </row>
    <row r="3" spans="1:2" x14ac:dyDescent="0.25">
      <c r="A3" t="s">
        <v>29</v>
      </c>
      <c r="B3" t="s">
        <v>13</v>
      </c>
    </row>
    <row r="6" spans="1:12" s="1" customFormat="1" x14ac:dyDescent="0.25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  <c r="G6" s="1" t="s">
        <v>36</v>
      </c>
      <c r="H6" s="1" t="s">
        <v>37</v>
      </c>
      <c r="I6" s="1" t="s">
        <v>38</v>
      </c>
      <c r="J6" s="1" t="s">
        <v>39</v>
      </c>
      <c r="K6" s="1" t="s">
        <v>40</v>
      </c>
      <c r="L6" s="1" t="s">
        <v>41</v>
      </c>
    </row>
    <row r="7" spans="7:11" x14ac:dyDescent="0.25">
      <c r="G7" t="s">
        <v>42</v>
      </c>
      <c r="H7" t="s">
        <v>42</v>
      </c>
      <c r="I7" t="s">
        <v>42</v>
      </c>
      <c r="J7" t="s">
        <v>42</v>
      </c>
      <c r="K7" t="s">
        <v>42</v>
      </c>
    </row>
    <row r="8" spans="1:3" x14ac:dyDescent="0.25">
      <c r="A8">
        <v>1</v>
      </c>
      <c r="B8" t="s">
        <v>43</v>
      </c>
      <c r="C8" t="s">
        <v>44</v>
      </c>
    </row>
    <row r="9" spans="1:12" x14ac:dyDescent="0.25">
      <c r="A9">
        <v>1.01</v>
      </c>
      <c r="B9" t="s">
        <v>43</v>
      </c>
      <c r="C9" t="s">
        <v>45</v>
      </c>
      <c r="D9" t="s">
        <v>46</v>
      </c>
      <c r="E9">
        <v>2</v>
      </c>
      <c r="G9">
        <f>E9+F9</f>
      </c>
      <c r="J9">
        <f>IF(G9="QRO",0,G9*H9)</f>
      </c>
      <c r="K9">
        <f>IF(G9="QRO",0,G9*I9)</f>
      </c>
      <c r="L9">
        <f>J9+K9</f>
      </c>
    </row>
    <row r="10" spans="1:12" x14ac:dyDescent="0.25">
      <c r="A10">
        <v>1.02</v>
      </c>
      <c r="B10" t="s">
        <v>43</v>
      </c>
      <c r="C10" t="s">
        <v>47</v>
      </c>
      <c r="D10" t="s">
        <v>46</v>
      </c>
      <c r="E10">
        <v>1</v>
      </c>
      <c r="F10">
        <v>1</v>
      </c>
      <c r="G10">
        <f>E10+F10</f>
      </c>
      <c r="J10">
        <f>IF(G10="QRO",0,G10*H10)</f>
      </c>
      <c r="K10">
        <f>IF(G10="QRO",0,G10*I10)</f>
      </c>
      <c r="L10">
        <f>J10+K10</f>
      </c>
    </row>
    <row r="11" spans="1:12" x14ac:dyDescent="0.25">
      <c r="A11">
        <v>1.03</v>
      </c>
      <c r="B11" t="s">
        <v>43</v>
      </c>
      <c r="C11" t="s">
        <v>48</v>
      </c>
      <c r="D11" t="s">
        <v>46</v>
      </c>
      <c r="F11">
        <v>2</v>
      </c>
      <c r="G11">
        <f>E11+F11</f>
      </c>
      <c r="J11">
        <f>IF(G11="QRO",0,G11*H11)</f>
      </c>
      <c r="K11">
        <f>IF(G11="QRO",0,G11*I11)</f>
      </c>
      <c r="L11">
        <f>J11+K11</f>
      </c>
    </row>
    <row r="12" spans="1:12" x14ac:dyDescent="0.25">
      <c r="A12">
        <v>1.04</v>
      </c>
      <c r="B12" t="s">
        <v>43</v>
      </c>
      <c r="C12" t="s">
        <v>49</v>
      </c>
      <c r="D12" t="s">
        <v>46</v>
      </c>
      <c r="G12" t="s">
        <v>50</v>
      </c>
      <c r="J12">
        <f>IF(G12="QRO",0,G12*H12)</f>
      </c>
      <c r="K12">
        <f>IF(G12="QRO",0,G12*I12)</f>
      </c>
      <c r="L12">
        <f>J12+K12</f>
      </c>
    </row>
    <row r="13" spans="1:12" x14ac:dyDescent="0.25">
      <c r="A13">
        <v>1.05</v>
      </c>
      <c r="B13" t="s">
        <v>43</v>
      </c>
      <c r="C13" t="s">
        <v>51</v>
      </c>
      <c r="D13" t="s">
        <v>46</v>
      </c>
      <c r="E13">
        <v>1</v>
      </c>
      <c r="G13">
        <f>E13+F13</f>
      </c>
      <c r="J13">
        <f>IF(G13="QRO",0,G13*H13)</f>
      </c>
      <c r="K13">
        <f>IF(G13="QRO",0,G13*I13)</f>
      </c>
      <c r="L13">
        <f>J13+K13</f>
      </c>
    </row>
    <row r="14" spans="1:3" x14ac:dyDescent="0.25">
      <c r="A14">
        <v>2</v>
      </c>
      <c r="B14" t="s">
        <v>52</v>
      </c>
      <c r="C14" t="s">
        <v>53</v>
      </c>
    </row>
    <row r="15" spans="1:12" x14ac:dyDescent="0.25">
      <c r="A15">
        <v>2.01</v>
      </c>
      <c r="B15" t="s">
        <v>52</v>
      </c>
      <c r="C15" t="s">
        <v>54</v>
      </c>
      <c r="D15" t="s">
        <v>46</v>
      </c>
      <c r="E15">
        <v>1</v>
      </c>
      <c r="F15">
        <v>2</v>
      </c>
      <c r="G15">
        <f>E15+F15</f>
      </c>
      <c r="J15">
        <f>IF(G15="QRO",0,G15*H15)</f>
      </c>
      <c r="K15">
        <f>IF(G15="QRO",0,G15*I15)</f>
      </c>
      <c r="L15">
        <f>J15+K15</f>
      </c>
    </row>
    <row r="16" spans="1:12" x14ac:dyDescent="0.25">
      <c r="A16">
        <v>2.02</v>
      </c>
      <c r="B16" t="s">
        <v>52</v>
      </c>
      <c r="C16" t="s">
        <v>55</v>
      </c>
      <c r="D16" t="s">
        <v>46</v>
      </c>
      <c r="F16">
        <v>1</v>
      </c>
      <c r="G16">
        <f>E16+F16</f>
      </c>
      <c r="J16">
        <f>IF(G16="QRO",0,G16*H16)</f>
      </c>
      <c r="K16">
        <f>IF(G16="QRO",0,G16*I16)</f>
      </c>
      <c r="L16">
        <f>J16+K16</f>
      </c>
    </row>
    <row r="17" spans="1:3" x14ac:dyDescent="0.25">
      <c r="A17">
        <v>3</v>
      </c>
      <c r="B17" t="s">
        <v>56</v>
      </c>
      <c r="C17" t="s">
        <v>57</v>
      </c>
    </row>
    <row r="18" spans="1:12" x14ac:dyDescent="0.25">
      <c r="A18">
        <v>3.01</v>
      </c>
      <c r="B18" t="s">
        <v>56</v>
      </c>
      <c r="C18" t="s">
        <v>58</v>
      </c>
      <c r="D18" t="s">
        <v>59</v>
      </c>
      <c r="E18">
        <v>120</v>
      </c>
      <c r="F18">
        <v>90</v>
      </c>
      <c r="G18">
        <f>E18+F18</f>
      </c>
      <c r="J18">
        <f>IF(G18="QRO",0,G18*H18)</f>
      </c>
      <c r="K18">
        <f>IF(G18="QRO",0,G18*I18)</f>
      </c>
      <c r="L18">
        <f>J18+K18</f>
      </c>
    </row>
    <row r="19" spans="1:12" x14ac:dyDescent="0.25">
      <c r="A19">
        <v>3.02</v>
      </c>
      <c r="B19" t="s">
        <v>56</v>
      </c>
      <c r="C19" t="s">
        <v>60</v>
      </c>
      <c r="D19" t="s">
        <v>59</v>
      </c>
      <c r="E19">
        <v>60</v>
      </c>
      <c r="F19">
        <v>60</v>
      </c>
      <c r="G19">
        <f>E19+F19</f>
      </c>
      <c r="J19">
        <f>IF(G19="QRO",0,G19*H19)</f>
      </c>
      <c r="K19">
        <f>IF(G19="QRO",0,G19*I19)</f>
      </c>
      <c r="L19">
        <f>J19+K19</f>
      </c>
    </row>
    <row r="20" spans="1:12" x14ac:dyDescent="0.25">
      <c r="A20">
        <v>3.03</v>
      </c>
      <c r="B20" t="s">
        <v>56</v>
      </c>
      <c r="C20" t="s">
        <v>61</v>
      </c>
      <c r="D20" t="s">
        <v>59</v>
      </c>
      <c r="G20" t="s">
        <v>50</v>
      </c>
      <c r="J20">
        <f>IF(G20="QRO",0,G20*H20)</f>
      </c>
      <c r="K20">
        <f>IF(G20="QRO",0,G20*I20)</f>
      </c>
      <c r="L20">
        <f>J20+K20</f>
      </c>
    </row>
    <row r="21" spans="1:3" x14ac:dyDescent="0.25">
      <c r="A21">
        <v>4</v>
      </c>
      <c r="B21" t="s">
        <v>62</v>
      </c>
      <c r="C21" t="s">
        <v>63</v>
      </c>
    </row>
    <row r="22" spans="1:12" x14ac:dyDescent="0.25">
      <c r="A22">
        <v>4.01</v>
      </c>
      <c r="B22" t="s">
        <v>62</v>
      </c>
      <c r="C22" t="s">
        <v>64</v>
      </c>
      <c r="D22" t="s">
        <v>59</v>
      </c>
      <c r="E22">
        <v>250</v>
      </c>
      <c r="F22">
        <v>180</v>
      </c>
      <c r="G22">
        <f>E22+F22</f>
      </c>
      <c r="J22">
        <f>IF(G22="QRO",0,G22*H22)</f>
      </c>
      <c r="K22">
        <f>IF(G22="QRO",0,G22*I22)</f>
      </c>
      <c r="L22">
        <f>J22+K22</f>
      </c>
    </row>
    <row r="23" spans="1:12" x14ac:dyDescent="0.25">
      <c r="A23">
        <v>4.02</v>
      </c>
      <c r="B23" t="s">
        <v>62</v>
      </c>
      <c r="C23" t="s">
        <v>65</v>
      </c>
      <c r="D23" t="s">
        <v>59</v>
      </c>
      <c r="E23">
        <v>80</v>
      </c>
      <c r="F23">
        <v>60</v>
      </c>
      <c r="G23">
        <f>E23+F23</f>
      </c>
      <c r="J23">
        <f>IF(G23="QRO",0,G23*H23)</f>
      </c>
      <c r="K23">
        <f>IF(G23="QRO",0,G23*I23)</f>
      </c>
      <c r="L23">
        <f>J23+K23</f>
      </c>
    </row>
    <row r="24" spans="1:3" x14ac:dyDescent="0.25">
      <c r="A24">
        <v>5</v>
      </c>
      <c r="B24" t="s">
        <v>66</v>
      </c>
      <c r="C24" t="s">
        <v>67</v>
      </c>
    </row>
    <row r="25" spans="1:12" x14ac:dyDescent="0.25">
      <c r="A25">
        <v>5.01</v>
      </c>
      <c r="B25" t="s">
        <v>66</v>
      </c>
      <c r="C25" t="s">
        <v>68</v>
      </c>
      <c r="D25" t="s">
        <v>46</v>
      </c>
      <c r="E25">
        <v>12</v>
      </c>
      <c r="F25">
        <v>10</v>
      </c>
      <c r="G25">
        <f>E25+F25</f>
      </c>
      <c r="J25">
        <f>IF(G25="QRO",0,G25*H25)</f>
      </c>
      <c r="K25">
        <f>IF(G25="QRO",0,G25*I25)</f>
      </c>
      <c r="L25">
        <f>J25+K25</f>
      </c>
    </row>
    <row r="26" spans="1:12" x14ac:dyDescent="0.25">
      <c r="A26">
        <v>5.02</v>
      </c>
      <c r="B26" t="s">
        <v>66</v>
      </c>
      <c r="C26" t="s">
        <v>69</v>
      </c>
      <c r="D26" t="s">
        <v>46</v>
      </c>
      <c r="E26">
        <v>4</v>
      </c>
      <c r="F26">
        <v>4</v>
      </c>
      <c r="G26">
        <f>E26+F26</f>
      </c>
      <c r="J26">
        <f>IF(G26="QRO",0,G26*H26)</f>
      </c>
      <c r="K26">
        <f>IF(G26="QRO",0,G26*I26)</f>
      </c>
      <c r="L26">
        <f>J26+K26</f>
      </c>
    </row>
    <row r="27" spans="1:12" x14ac:dyDescent="0.25">
      <c r="A27">
        <v>6</v>
      </c>
      <c r="B27" t="s">
        <v>70</v>
      </c>
      <c r="C27" t="s">
        <v>71</v>
      </c>
      <c r="D27" t="s">
        <v>46</v>
      </c>
      <c r="G27" t="s">
        <v>50</v>
      </c>
      <c r="J27">
        <f>IF(G27="QRO",0,G27*H27)</f>
      </c>
      <c r="K27">
        <f>IF(G27="QRO",0,G27*I27)</f>
      </c>
      <c r="L27">
        <f>J27+K27</f>
      </c>
    </row>
    <row r="28" spans="1:12" x14ac:dyDescent="0.25">
      <c r="A28">
        <v>7</v>
      </c>
      <c r="B28" t="s">
        <v>72</v>
      </c>
      <c r="C28" t="s">
        <v>73</v>
      </c>
      <c r="D28" t="s">
        <v>74</v>
      </c>
      <c r="E28">
        <v>1</v>
      </c>
      <c r="F28">
        <v>1</v>
      </c>
      <c r="G28">
        <f>E28+F28</f>
      </c>
      <c r="J28">
        <f>IF(G28="QRO",0,G28*H28)</f>
      </c>
      <c r="K28">
        <f>IF(G28="QRO",0,G28*I28)</f>
      </c>
      <c r="L28">
        <f>J28+K28</f>
      </c>
    </row>
    <row r="29" spans="1:12" x14ac:dyDescent="0.25">
      <c r="A29">
        <v>8</v>
      </c>
      <c r="B29" t="s">
        <v>75</v>
      </c>
      <c r="C29" t="s">
        <v>76</v>
      </c>
      <c r="D29" t="s">
        <v>74</v>
      </c>
      <c r="E29">
        <v>1</v>
      </c>
      <c r="F29">
        <v>1</v>
      </c>
      <c r="G29">
        <f>E29+F29</f>
      </c>
      <c r="J29">
        <f>IF(G29="QRO",0,G29*H29)</f>
      </c>
      <c r="K29">
        <f>IF(G29="QRO",0,G29*I29)</f>
      </c>
      <c r="L29">
        <f>J29+K29</f>
      </c>
    </row>
    <row r="30" spans="3:12" x14ac:dyDescent="0.25">
      <c r="C30" t="s">
        <v>77</v>
      </c>
      <c r="J30">
        <f>SUM(J8:J29)</f>
      </c>
      <c r="K30">
        <f>SUM(K8:K29)</f>
      </c>
      <c r="L30">
        <f>SUM(L8:L29)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sheetData>
    <row r="1" spans="1:6" x14ac:dyDescent="0.25">
      <c r="A1" t="s">
        <v>30</v>
      </c>
      <c r="B1" t="s">
        <v>78</v>
      </c>
      <c r="C1" t="s">
        <v>79</v>
      </c>
      <c r="D1" t="s">
        <v>80</v>
      </c>
      <c r="E1" t="s">
        <v>81</v>
      </c>
      <c r="F1" t="s">
        <v>82</v>
      </c>
    </row>
    <row r="2" spans="1:5" x14ac:dyDescent="0.25">
      <c r="A2">
        <v>1</v>
      </c>
      <c r="B2" t="s">
        <v>83</v>
      </c>
      <c r="C2" t="s">
        <v>84</v>
      </c>
      <c r="D2" t="s">
        <v>85</v>
      </c>
      <c r="E2" t="s">
        <v>86</v>
      </c>
    </row>
    <row r="3" spans="1:5" x14ac:dyDescent="0.25">
      <c r="A3">
        <v>2</v>
      </c>
      <c r="B3" t="s">
        <v>87</v>
      </c>
      <c r="C3" t="s">
        <v>88</v>
      </c>
      <c r="D3" t="s">
        <v>89</v>
      </c>
      <c r="E3" t="s">
        <v>90</v>
      </c>
    </row>
    <row r="4" spans="1:5" x14ac:dyDescent="0.25">
      <c r="A4">
        <v>3</v>
      </c>
      <c r="B4" t="s">
        <v>91</v>
      </c>
      <c r="C4" t="s">
        <v>92</v>
      </c>
      <c r="D4" t="s">
        <v>93</v>
      </c>
      <c r="E4" t="s">
        <v>94</v>
      </c>
    </row>
    <row r="5" spans="1:5" x14ac:dyDescent="0.25">
      <c r="A5">
        <v>4</v>
      </c>
      <c r="B5" t="s">
        <v>95</v>
      </c>
      <c r="C5" t="s">
        <v>96</v>
      </c>
      <c r="D5" t="s">
        <v>97</v>
      </c>
      <c r="E5" t="s">
        <v>98</v>
      </c>
    </row>
    <row r="6" spans="1:5" x14ac:dyDescent="0.25">
      <c r="A6">
        <v>5</v>
      </c>
      <c r="B6" t="s">
        <v>99</v>
      </c>
      <c r="C6" t="s">
        <v>100</v>
      </c>
      <c r="D6" t="s">
        <v>101</v>
      </c>
      <c r="E6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Ventilation BOQ</vt:lpstr>
      <vt:lpstr>HVAC Approved Makes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Spaceair CRM sample</dc:creator>
  <dc:title/>
  <dc:subject/>
  <dc:description/>
  <cp:keywords/>
  <cp:category/>
  <cp:lastModifiedBy>Unknown</cp:lastModifiedBy>
  <dcterms:created xsi:type="dcterms:W3CDTF">2026-09-26T11:10:09Z</dcterms:created>
  <dcterms:modified xsi:type="dcterms:W3CDTF">2026-09-26T11:10:09Z</dcterms:modified>
</cp:coreProperties>
</file>